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Documents\бак бланка\БЛАНКлар\"/>
    </mc:Choice>
  </mc:AlternateContent>
  <bookViews>
    <workbookView xWindow="0" yWindow="0" windowWidth="21600" windowHeight="9735" tabRatio="760"/>
  </bookViews>
  <sheets>
    <sheet name="Ш.Рашид (3)" sheetId="14" r:id="rId1"/>
    <sheet name="Ш.Рашид (4)" sheetId="15" r:id="rId2"/>
    <sheet name="Ш.Рашид (8)" sheetId="19" r:id="rId3"/>
    <sheet name="ДОН " sheetId="20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26" i="20" l="1"/>
  <c r="Q25" i="20"/>
  <c r="Q24" i="20"/>
  <c r="Q23" i="20"/>
  <c r="Q22" i="20"/>
  <c r="Q21" i="20"/>
  <c r="Q20" i="20"/>
  <c r="Q19" i="20"/>
  <c r="Q27" i="20" l="1"/>
  <c r="R28" i="20" s="1"/>
</calcChain>
</file>

<file path=xl/sharedStrings.xml><?xml version="1.0" encoding="utf-8"?>
<sst xmlns="http://schemas.openxmlformats.org/spreadsheetml/2006/main" count="280" uniqueCount="92">
  <si>
    <t>Узбекистон Республикаси</t>
  </si>
  <si>
    <t xml:space="preserve">Согликни Саклаш Вазирлиги </t>
  </si>
  <si>
    <t>Жиззах шахар О.Азимов кучаси 1 А уй</t>
  </si>
  <si>
    <t>Озик-овкат махсулотларини санитария бактериологик текшириш</t>
  </si>
  <si>
    <t>№</t>
  </si>
  <si>
    <t>Лаборатория мудири:_____________________________________________________________________</t>
  </si>
  <si>
    <t>- </t>
  </si>
  <si>
    <t> 1,0 см3 да мумкин эмас</t>
  </si>
  <si>
    <t xml:space="preserve">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</si>
  <si>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</t>
  </si>
  <si>
    <r>
      <t xml:space="preserve">Санитария врачининг хулосаси Ф.И.Ш. </t>
    </r>
    <r>
      <rPr>
        <u/>
        <sz val="11"/>
        <color theme="1"/>
        <rFont val="Times New Roman"/>
        <family val="1"/>
        <charset val="204"/>
      </rPr>
      <t xml:space="preserve">                                                                                                                   </t>
    </r>
  </si>
  <si>
    <t>Врач бактериолог _______________________________________________________________________</t>
  </si>
  <si>
    <t xml:space="preserve">Умумий микроб МАФАМ </t>
  </si>
  <si>
    <t xml:space="preserve">БГКП  
</t>
  </si>
  <si>
    <t xml:space="preserve">Касаллик кузгатувчи 
Патоген флора ш.ж Салмонеллез   </t>
  </si>
  <si>
    <t xml:space="preserve">L.monociitigenes 
КОЕ в 25,0 
</t>
  </si>
  <si>
    <t xml:space="preserve">Proteus </t>
  </si>
  <si>
    <r>
      <t>1*10</t>
    </r>
    <r>
      <rPr>
        <vertAlign val="superscript"/>
        <sz val="11"/>
        <color theme="1"/>
        <rFont val="Calibri"/>
        <family val="2"/>
        <charset val="204"/>
        <scheme val="minor"/>
      </rPr>
      <t>4
КОЕ/гр</t>
    </r>
  </si>
  <si>
    <t>топилмади</t>
  </si>
  <si>
    <t>Меъёрий хужжат бўйича</t>
  </si>
  <si>
    <t xml:space="preserve">Амалда </t>
  </si>
  <si>
    <t xml:space="preserve">Плесень, дрожжи 
</t>
  </si>
  <si>
    <t xml:space="preserve">St.aureus 
</t>
  </si>
  <si>
    <t>Текширилаётган 
намунанинг номи</t>
  </si>
  <si>
    <t>Жиззах вилоят СЭОМ UZ АТМ 07 МАI 853</t>
  </si>
  <si>
    <r>
      <rPr>
        <b/>
        <sz val="12"/>
        <color rgb="FF000000"/>
        <rFont val="Times New Roman"/>
        <family val="1"/>
        <charset val="204"/>
      </rPr>
      <t>Намуна текширишни асословчи хужжат</t>
    </r>
    <r>
      <rPr>
        <sz val="12"/>
        <color rgb="FF000000"/>
        <rFont val="Times New Roman"/>
        <family val="1"/>
        <charset val="204"/>
      </rPr>
      <t>: _</t>
    </r>
    <r>
      <rPr>
        <u/>
        <sz val="12"/>
        <color rgb="FF000000"/>
        <rFont val="Times New Roman"/>
        <family val="1"/>
        <charset val="204"/>
      </rPr>
      <t>СанПин РУз № 0366-19</t>
    </r>
    <r>
      <rPr>
        <sz val="12"/>
        <color rgb="FF000000"/>
        <rFont val="Times New Roman"/>
        <family val="1"/>
        <charset val="204"/>
      </rPr>
      <t>_</t>
    </r>
  </si>
  <si>
    <r>
      <rPr>
        <b/>
        <sz val="12"/>
        <color rgb="FF000000"/>
        <rFont val="Times New Roman"/>
        <family val="1"/>
        <charset val="204"/>
      </rPr>
      <t>Намуна олишда қатнашган шахс:</t>
    </r>
    <r>
      <rPr>
        <sz val="12"/>
        <color rgb="FF000000"/>
        <rFont val="Times New Roman"/>
        <family val="1"/>
        <charset val="204"/>
      </rPr>
      <t xml:space="preserve"> </t>
    </r>
    <r>
      <rPr>
        <u/>
        <sz val="12"/>
        <color rgb="FF000000"/>
        <rFont val="Times New Roman"/>
        <family val="1"/>
        <charset val="204"/>
      </rPr>
      <t xml:space="preserve">                 </t>
    </r>
  </si>
  <si>
    <r>
      <t>5*10</t>
    </r>
    <r>
      <rPr>
        <vertAlign val="superscript"/>
        <sz val="11"/>
        <color theme="1"/>
        <rFont val="Calibri"/>
        <family val="2"/>
        <charset val="204"/>
        <scheme val="minor"/>
      </rPr>
      <t>3
КОЕ/гр</t>
    </r>
  </si>
  <si>
    <r>
      <rPr>
        <b/>
        <sz val="11"/>
        <color theme="1"/>
        <rFont val="Times New Roman"/>
        <family val="1"/>
        <charset val="204"/>
      </rPr>
      <t>Намуна олинган сана:</t>
    </r>
    <r>
      <rPr>
        <sz val="11"/>
        <color theme="1"/>
        <rFont val="Times New Roman"/>
        <family val="1"/>
        <charset val="204"/>
      </rPr>
      <t>________</t>
    </r>
    <r>
      <rPr>
        <u/>
        <sz val="11"/>
        <color theme="1"/>
        <rFont val="Times New Roman"/>
        <family val="1"/>
        <charset val="204"/>
      </rPr>
      <t>_29.01.2020 йил_        _</t>
    </r>
    <r>
      <rPr>
        <sz val="11"/>
        <color theme="1"/>
        <rFont val="Times New Roman"/>
        <family val="1"/>
        <charset val="204"/>
      </rPr>
      <t>_______________________________</t>
    </r>
  </si>
  <si>
    <r>
      <rPr>
        <b/>
        <sz val="11"/>
        <color theme="1"/>
        <rFont val="Times New Roman"/>
        <family val="1"/>
        <charset val="204"/>
      </rPr>
      <t>Текширув утказилган сана:</t>
    </r>
    <r>
      <rPr>
        <sz val="11"/>
        <color theme="1"/>
        <rFont val="Times New Roman"/>
        <family val="1"/>
        <charset val="204"/>
      </rPr>
      <t xml:space="preserve"> ________</t>
    </r>
    <r>
      <rPr>
        <u/>
        <sz val="11"/>
        <color theme="1"/>
        <rFont val="Times New Roman"/>
        <family val="1"/>
        <charset val="204"/>
      </rPr>
      <t>29.01.2020 й               05.02.2020 й</t>
    </r>
    <r>
      <rPr>
        <sz val="11"/>
        <color theme="1"/>
        <rFont val="Times New Roman"/>
        <family val="1"/>
        <charset val="204"/>
      </rPr>
      <t>___________________</t>
    </r>
  </si>
  <si>
    <r>
      <t>5*10</t>
    </r>
    <r>
      <rPr>
        <vertAlign val="superscript"/>
        <sz val="11"/>
        <color theme="1"/>
        <rFont val="Calibri"/>
        <family val="2"/>
        <charset val="204"/>
        <scheme val="minor"/>
      </rPr>
      <t>4
КОЕ/гр</t>
    </r>
  </si>
  <si>
    <t>ПРОТОКОЛИ № _7-11_</t>
  </si>
  <si>
    <r>
      <rPr>
        <b/>
        <sz val="11"/>
        <color theme="1"/>
        <rFont val="Times New Roman"/>
        <family val="1"/>
        <charset val="204"/>
      </rPr>
      <t>Манзили</t>
    </r>
    <r>
      <rPr>
        <sz val="11"/>
        <color theme="1"/>
        <rFont val="Times New Roman"/>
        <family val="1"/>
        <charset val="204"/>
      </rPr>
      <t>: _</t>
    </r>
    <r>
      <rPr>
        <u/>
        <sz val="11"/>
        <color theme="1"/>
        <rFont val="Times New Roman"/>
        <family val="1"/>
        <charset val="204"/>
      </rPr>
      <t xml:space="preserve">Жиззах шахар Олмазор махалласи Олмазор маркет магазини  </t>
    </r>
    <r>
      <rPr>
        <sz val="11"/>
        <color theme="1"/>
        <rFont val="Times New Roman"/>
        <family val="1"/>
        <charset val="204"/>
      </rPr>
      <t>_</t>
    </r>
  </si>
  <si>
    <t>Начинкасиз Пряник</t>
  </si>
  <si>
    <r>
      <t>2,5*10</t>
    </r>
    <r>
      <rPr>
        <vertAlign val="superscript"/>
        <sz val="11"/>
        <color theme="1"/>
        <rFont val="Calibri"/>
        <family val="2"/>
        <charset val="204"/>
        <scheme val="minor"/>
      </rPr>
      <t>3
КОЕ/гр</t>
    </r>
  </si>
  <si>
    <t>Кекс</t>
  </si>
  <si>
    <t>Булочка</t>
  </si>
  <si>
    <t>Бисквитли рулет</t>
  </si>
  <si>
    <t>Бисквитли торт</t>
  </si>
  <si>
    <t>топилди</t>
  </si>
  <si>
    <t>Плесень</t>
  </si>
  <si>
    <t xml:space="preserve">
Дрожжи 
</t>
  </si>
  <si>
    <t>25,0 да мумкин эмас </t>
  </si>
  <si>
    <t>0,1 да мумкин эмас</t>
  </si>
  <si>
    <t>1,0 да мумкин эмас</t>
  </si>
  <si>
    <t>0,01 да мумкин эмас</t>
  </si>
  <si>
    <r>
      <t>5,9*10</t>
    </r>
    <r>
      <rPr>
        <b/>
        <vertAlign val="superscript"/>
        <sz val="11"/>
        <color theme="1"/>
        <rFont val="Calibri"/>
        <family val="2"/>
        <charset val="204"/>
        <scheme val="minor"/>
      </rPr>
      <t>4
КОЕ/гр</t>
    </r>
  </si>
  <si>
    <r>
      <t>4,9*10</t>
    </r>
    <r>
      <rPr>
        <b/>
        <vertAlign val="superscript"/>
        <sz val="11"/>
        <color theme="1"/>
        <rFont val="Calibri"/>
        <family val="2"/>
        <charset val="204"/>
        <scheme val="minor"/>
      </rPr>
      <t>4
КОЕ/гр</t>
    </r>
  </si>
  <si>
    <r>
      <t>5*10</t>
    </r>
    <r>
      <rPr>
        <b/>
        <vertAlign val="superscript"/>
        <sz val="11"/>
        <color theme="1"/>
        <rFont val="Calibri"/>
        <family val="2"/>
        <charset val="204"/>
        <scheme val="minor"/>
      </rPr>
      <t>5
КОЕ/гр</t>
    </r>
  </si>
  <si>
    <r>
      <t>5,5*10</t>
    </r>
    <r>
      <rPr>
        <b/>
        <vertAlign val="superscript"/>
        <sz val="11"/>
        <color theme="1"/>
        <rFont val="Calibri"/>
        <family val="2"/>
        <charset val="204"/>
        <scheme val="minor"/>
      </rPr>
      <t>2
КОЕ/гр</t>
    </r>
  </si>
  <si>
    <r>
      <t>3*10</t>
    </r>
    <r>
      <rPr>
        <b/>
        <vertAlign val="superscript"/>
        <sz val="11"/>
        <color theme="1"/>
        <rFont val="Calibri"/>
        <family val="2"/>
        <charset val="204"/>
        <scheme val="minor"/>
      </rPr>
      <t>2
КОЕ/гр</t>
    </r>
  </si>
  <si>
    <r>
      <t>2*10</t>
    </r>
    <r>
      <rPr>
        <b/>
        <vertAlign val="superscript"/>
        <sz val="11"/>
        <color theme="1"/>
        <rFont val="Calibri"/>
        <family val="2"/>
        <charset val="204"/>
        <scheme val="minor"/>
      </rPr>
      <t>2
КОЕ/гр</t>
    </r>
  </si>
  <si>
    <r>
      <t>1*10</t>
    </r>
    <r>
      <rPr>
        <b/>
        <vertAlign val="superscript"/>
        <sz val="11"/>
        <color theme="1"/>
        <rFont val="Calibri"/>
        <family val="2"/>
        <charset val="204"/>
        <scheme val="minor"/>
      </rPr>
      <t>2
КОЕ/гр</t>
    </r>
  </si>
  <si>
    <r>
      <t>1*10</t>
    </r>
    <r>
      <rPr>
        <b/>
        <vertAlign val="superscript"/>
        <sz val="11"/>
        <color theme="1"/>
        <rFont val="Calibri"/>
        <family val="2"/>
        <charset val="204"/>
        <scheme val="minor"/>
      </rPr>
      <t>3
КОЕ/гр</t>
    </r>
  </si>
  <si>
    <t xml:space="preserve">50 КОЕ/гр </t>
  </si>
  <si>
    <t>Врач бактериолог:     _____________________________________________________________________</t>
  </si>
  <si>
    <t>мумкин эмас</t>
  </si>
  <si>
    <t xml:space="preserve">                                                                                                                                                                                        </t>
  </si>
  <si>
    <r>
      <t xml:space="preserve">Санитария врачининг хулосаси Ф.И.Ш. </t>
    </r>
    <r>
      <rPr>
        <u/>
        <sz val="12"/>
        <color theme="1"/>
        <rFont val="Times New Roman"/>
        <family val="1"/>
        <charset val="204"/>
      </rPr>
      <t xml:space="preserve">                                                                                                                   </t>
    </r>
  </si>
  <si>
    <t xml:space="preserve">Плесень, 
Дрожжи  </t>
  </si>
  <si>
    <t>ПРОТОКОЛИ № _24_</t>
  </si>
  <si>
    <r>
      <rPr>
        <b/>
        <sz val="12"/>
        <color theme="1"/>
        <rFont val="Times New Roman"/>
        <family val="1"/>
        <charset val="204"/>
      </rPr>
      <t>Манзили</t>
    </r>
    <r>
      <rPr>
        <sz val="12"/>
        <color theme="1"/>
        <rFont val="Times New Roman"/>
        <family val="1"/>
        <charset val="204"/>
      </rPr>
      <t>: _</t>
    </r>
    <r>
      <rPr>
        <u/>
        <sz val="12"/>
        <color theme="1"/>
        <rFont val="Times New Roman"/>
        <family val="1"/>
        <charset val="204"/>
      </rPr>
      <t>_Жиззах шахар 16-мактабдаги "саховат ва хайрия" штабидан________________</t>
    </r>
    <r>
      <rPr>
        <sz val="12"/>
        <color theme="1"/>
        <rFont val="Times New Roman"/>
        <family val="1"/>
        <charset val="204"/>
      </rPr>
      <t>_</t>
    </r>
  </si>
  <si>
    <r>
      <rPr>
        <b/>
        <sz val="12"/>
        <color theme="1"/>
        <rFont val="Times New Roman"/>
        <family val="1"/>
        <charset val="204"/>
      </rPr>
      <t>Намуна олинган сана:</t>
    </r>
    <r>
      <rPr>
        <sz val="12"/>
        <color theme="1"/>
        <rFont val="Times New Roman"/>
        <family val="1"/>
        <charset val="204"/>
      </rPr>
      <t>________</t>
    </r>
    <r>
      <rPr>
        <u/>
        <sz val="12"/>
        <color theme="1"/>
        <rFont val="Times New Roman"/>
        <family val="1"/>
        <charset val="204"/>
      </rPr>
      <t>_28.05.2020 йил_        _</t>
    </r>
    <r>
      <rPr>
        <sz val="12"/>
        <color theme="1"/>
        <rFont val="Times New Roman"/>
        <family val="1"/>
        <charset val="204"/>
      </rPr>
      <t>_______________________________</t>
    </r>
  </si>
  <si>
    <r>
      <rPr>
        <b/>
        <sz val="12"/>
        <color theme="1"/>
        <rFont val="Times New Roman"/>
        <family val="1"/>
        <charset val="204"/>
      </rPr>
      <t>Текширув утказилган сана:</t>
    </r>
    <r>
      <rPr>
        <sz val="12"/>
        <color theme="1"/>
        <rFont val="Times New Roman"/>
        <family val="1"/>
        <charset val="204"/>
      </rPr>
      <t xml:space="preserve"> ________</t>
    </r>
    <r>
      <rPr>
        <u/>
        <sz val="12"/>
        <color theme="1"/>
        <rFont val="Times New Roman"/>
        <family val="1"/>
        <charset val="204"/>
      </rPr>
      <t>28.05.2020 й               01.06.2020 й</t>
    </r>
    <r>
      <rPr>
        <sz val="12"/>
        <color theme="1"/>
        <rFont val="Times New Roman"/>
        <family val="1"/>
        <charset val="204"/>
      </rPr>
      <t>___________________</t>
    </r>
  </si>
  <si>
    <t>Сут (1литр упаков.)</t>
  </si>
  <si>
    <r>
      <t xml:space="preserve">25 
</t>
    </r>
    <r>
      <rPr>
        <sz val="9"/>
        <color rgb="FF000000"/>
        <rFont val="Times New Roman"/>
        <family val="1"/>
        <charset val="204"/>
      </rPr>
      <t>КОЕ/гр</t>
    </r>
  </si>
  <si>
    <r>
      <t>1*10</t>
    </r>
    <r>
      <rPr>
        <vertAlign val="superscript"/>
        <sz val="12"/>
        <color theme="1"/>
        <rFont val="Calibri"/>
        <family val="2"/>
        <charset val="204"/>
        <scheme val="minor"/>
      </rPr>
      <t>5
КОЕ/гр</t>
    </r>
  </si>
  <si>
    <r>
      <t>1*10</t>
    </r>
    <r>
      <rPr>
        <vertAlign val="superscript"/>
        <sz val="12"/>
        <color theme="1"/>
        <rFont val="Calibri"/>
        <family val="2"/>
        <charset val="204"/>
        <scheme val="minor"/>
      </rPr>
      <t>3
КОЕ/гр</t>
    </r>
  </si>
  <si>
    <r>
      <t>Лаборатория мудири:____________</t>
    </r>
    <r>
      <rPr>
        <u/>
        <sz val="12"/>
        <color theme="1"/>
        <rFont val="Times New Roman"/>
        <family val="1"/>
        <charset val="204"/>
      </rPr>
      <t>У.Холбоева_</t>
    </r>
    <r>
      <rPr>
        <sz val="12"/>
        <color theme="1"/>
        <rFont val="Times New Roman"/>
        <family val="1"/>
        <charset val="204"/>
      </rPr>
      <t>_________________________________</t>
    </r>
  </si>
  <si>
    <r>
      <t>Врач бактериолог:     ___________</t>
    </r>
    <r>
      <rPr>
        <u/>
        <sz val="12"/>
        <color theme="1"/>
        <rFont val="Times New Roman"/>
        <family val="1"/>
        <charset val="204"/>
      </rPr>
      <t xml:space="preserve">Д.Эшмаматов </t>
    </r>
    <r>
      <rPr>
        <sz val="12"/>
        <color theme="1"/>
        <rFont val="Times New Roman"/>
        <family val="1"/>
        <charset val="204"/>
      </rPr>
      <t>_________________________________</t>
    </r>
  </si>
  <si>
    <t>Компот</t>
  </si>
  <si>
    <t>Салат</t>
  </si>
  <si>
    <t xml:space="preserve">Гўшт лули кабоб (хом кийма) </t>
  </si>
  <si>
    <t>-</t>
  </si>
  <si>
    <r>
      <t>1*10</t>
    </r>
    <r>
      <rPr>
        <vertAlign val="superscript"/>
        <sz val="12"/>
        <color theme="1"/>
        <rFont val="Calibri"/>
        <family val="2"/>
        <charset val="204"/>
        <scheme val="minor"/>
      </rPr>
      <t>4
КОЕ/гр</t>
    </r>
  </si>
  <si>
    <r>
      <t>5*10</t>
    </r>
    <r>
      <rPr>
        <vertAlign val="superscript"/>
        <sz val="12"/>
        <color theme="1"/>
        <rFont val="Calibri"/>
        <family val="2"/>
        <charset val="204"/>
        <scheme val="minor"/>
      </rPr>
      <t>6
КОЕ/гр</t>
    </r>
  </si>
  <si>
    <t>0,0001 да мумкин эмас</t>
  </si>
  <si>
    <t>1,0 да мумкин эмас </t>
  </si>
  <si>
    <t>ПРОТОКОЛИ № _22-24_</t>
  </si>
  <si>
    <r>
      <rPr>
        <b/>
        <sz val="12"/>
        <color theme="1"/>
        <rFont val="Times New Roman"/>
        <family val="1"/>
        <charset val="204"/>
      </rPr>
      <t>Манзили</t>
    </r>
    <r>
      <rPr>
        <sz val="12"/>
        <color theme="1"/>
        <rFont val="Times New Roman"/>
        <family val="1"/>
        <charset val="204"/>
      </rPr>
      <t>: _</t>
    </r>
    <r>
      <rPr>
        <u/>
        <sz val="12"/>
        <color theme="1"/>
        <rFont val="Times New Roman"/>
        <family val="1"/>
        <charset val="204"/>
      </rPr>
      <t xml:space="preserve">                "Жиззахдонмахсулотлари" АЖ                                    ________________</t>
    </r>
    <r>
      <rPr>
        <sz val="12"/>
        <color theme="1"/>
        <rFont val="Times New Roman"/>
        <family val="1"/>
        <charset val="204"/>
      </rPr>
      <t>_</t>
    </r>
  </si>
  <si>
    <r>
      <rPr>
        <b/>
        <sz val="12"/>
        <color theme="1"/>
        <rFont val="Times New Roman"/>
        <family val="1"/>
        <charset val="204"/>
      </rPr>
      <t>Намуна олинган сана:</t>
    </r>
    <r>
      <rPr>
        <sz val="12"/>
        <color theme="1"/>
        <rFont val="Times New Roman"/>
        <family val="1"/>
        <charset val="204"/>
      </rPr>
      <t>________</t>
    </r>
    <r>
      <rPr>
        <u/>
        <sz val="12"/>
        <color theme="1"/>
        <rFont val="Times New Roman"/>
        <family val="1"/>
        <charset val="204"/>
      </rPr>
      <t>_25.05.2022 йил_        _</t>
    </r>
    <r>
      <rPr>
        <sz val="12"/>
        <color theme="1"/>
        <rFont val="Times New Roman"/>
        <family val="1"/>
        <charset val="204"/>
      </rPr>
      <t>_______________________________</t>
    </r>
  </si>
  <si>
    <r>
      <rPr>
        <b/>
        <sz val="12"/>
        <color rgb="FF000000"/>
        <rFont val="Times New Roman"/>
        <family val="1"/>
        <charset val="204"/>
      </rPr>
      <t>Намуна олишда қатнашган шахс:</t>
    </r>
    <r>
      <rPr>
        <sz val="12"/>
        <color rgb="FF000000"/>
        <rFont val="Times New Roman"/>
        <family val="1"/>
        <charset val="204"/>
      </rPr>
      <t xml:space="preserve"> </t>
    </r>
    <r>
      <rPr>
        <u/>
        <sz val="12"/>
        <color rgb="FF000000"/>
        <rFont val="Times New Roman"/>
        <family val="1"/>
        <charset val="204"/>
      </rPr>
      <t xml:space="preserve">           Т.Бобоев      </t>
    </r>
  </si>
  <si>
    <r>
      <t>1*10</t>
    </r>
    <r>
      <rPr>
        <b/>
        <vertAlign val="superscript"/>
        <sz val="14"/>
        <color theme="1"/>
        <rFont val="Calibri"/>
        <family val="2"/>
        <charset val="204"/>
        <scheme val="minor"/>
      </rPr>
      <t>5
КОЕ/гр</t>
    </r>
  </si>
  <si>
    <r>
      <t>6*10</t>
    </r>
    <r>
      <rPr>
        <b/>
        <vertAlign val="superscript"/>
        <sz val="14"/>
        <color theme="1"/>
        <rFont val="Calibri"/>
        <family val="2"/>
        <charset val="204"/>
        <scheme val="minor"/>
      </rPr>
      <t>6
КОЕ/гр</t>
    </r>
  </si>
  <si>
    <r>
      <rPr>
        <b/>
        <sz val="12"/>
        <color theme="1"/>
        <rFont val="Times New Roman"/>
        <family val="1"/>
        <charset val="204"/>
      </rPr>
      <t>Текширув утказилган сана:</t>
    </r>
    <r>
      <rPr>
        <sz val="12"/>
        <color theme="1"/>
        <rFont val="Times New Roman"/>
        <family val="1"/>
        <charset val="204"/>
      </rPr>
      <t xml:space="preserve"> ________</t>
    </r>
    <r>
      <rPr>
        <u/>
        <sz val="12"/>
        <color theme="1"/>
        <rFont val="Times New Roman"/>
        <family val="1"/>
        <charset val="204"/>
      </rPr>
      <t>25.05.2022 й           01.06.2022 й</t>
    </r>
    <r>
      <rPr>
        <sz val="12"/>
        <color theme="1"/>
        <rFont val="Times New Roman"/>
        <family val="1"/>
        <charset val="204"/>
      </rPr>
      <t>___________________</t>
    </r>
  </si>
  <si>
    <t xml:space="preserve">Жиззах вилоят СЭО ва ЖСБ </t>
  </si>
  <si>
    <t>БАЁННОМАСИ  № __</t>
  </si>
  <si>
    <r>
      <rPr>
        <b/>
        <sz val="14"/>
        <color theme="1"/>
        <rFont val="Times New Roman"/>
        <family val="1"/>
        <charset val="204"/>
      </rPr>
      <t>Манзили</t>
    </r>
    <r>
      <rPr>
        <sz val="14"/>
        <color theme="1"/>
        <rFont val="Times New Roman"/>
        <family val="1"/>
        <charset val="204"/>
      </rPr>
      <t>: _</t>
    </r>
    <r>
      <rPr>
        <u/>
        <sz val="14"/>
        <color theme="1"/>
        <rFont val="Times New Roman"/>
        <family val="1"/>
        <charset val="204"/>
      </rPr>
      <t>______________________________________________________</t>
    </r>
    <r>
      <rPr>
        <sz val="14"/>
        <color theme="1"/>
        <rFont val="Times New Roman"/>
        <family val="1"/>
        <charset val="204"/>
      </rPr>
      <t>_</t>
    </r>
  </si>
  <si>
    <r>
      <rPr>
        <b/>
        <sz val="14"/>
        <color theme="1"/>
        <rFont val="Times New Roman"/>
        <family val="1"/>
        <charset val="204"/>
      </rPr>
      <t>Намуна олинган сана:</t>
    </r>
    <r>
      <rPr>
        <sz val="14"/>
        <color theme="1"/>
        <rFont val="Times New Roman"/>
        <family val="1"/>
        <charset val="204"/>
      </rPr>
      <t>________</t>
    </r>
    <r>
      <rPr>
        <u/>
        <sz val="14"/>
        <color theme="1"/>
        <rFont val="Times New Roman"/>
        <family val="1"/>
        <charset val="204"/>
      </rPr>
      <t>__        _</t>
    </r>
    <r>
      <rPr>
        <sz val="14"/>
        <color theme="1"/>
        <rFont val="Times New Roman"/>
        <family val="1"/>
        <charset val="204"/>
      </rPr>
      <t>_______________________________</t>
    </r>
  </si>
  <si>
    <r>
      <rPr>
        <b/>
        <sz val="14"/>
        <color theme="1"/>
        <rFont val="Times New Roman"/>
        <family val="1"/>
        <charset val="204"/>
      </rPr>
      <t>Текширув утказилган сана:</t>
    </r>
    <r>
      <rPr>
        <sz val="14"/>
        <color theme="1"/>
        <rFont val="Times New Roman"/>
        <family val="1"/>
        <charset val="204"/>
      </rPr>
      <t xml:space="preserve"> ____________________________________________</t>
    </r>
  </si>
  <si>
    <r>
      <rPr>
        <b/>
        <sz val="14"/>
        <color rgb="FF000000"/>
        <rFont val="Times New Roman"/>
        <family val="1"/>
        <charset val="204"/>
      </rPr>
      <t>Намуна текширишни асословчи хужжат</t>
    </r>
    <r>
      <rPr>
        <sz val="14"/>
        <color rgb="FF000000"/>
        <rFont val="Times New Roman"/>
        <family val="1"/>
        <charset val="204"/>
      </rPr>
      <t>: _</t>
    </r>
    <r>
      <rPr>
        <u/>
        <sz val="14"/>
        <color rgb="FF000000"/>
        <rFont val="Times New Roman"/>
        <family val="1"/>
        <charset val="204"/>
      </rPr>
      <t>________________________</t>
    </r>
    <r>
      <rPr>
        <sz val="14"/>
        <color rgb="FF000000"/>
        <rFont val="Times New Roman"/>
        <family val="1"/>
        <charset val="204"/>
      </rPr>
      <t>_</t>
    </r>
  </si>
  <si>
    <r>
      <rPr>
        <b/>
        <sz val="14"/>
        <color rgb="FF000000"/>
        <rFont val="Times New Roman"/>
        <family val="1"/>
        <charset val="204"/>
      </rPr>
      <t>Намуна олишда қатнашган шахс:</t>
    </r>
    <r>
      <rPr>
        <sz val="14"/>
        <color rgb="FF000000"/>
        <rFont val="Times New Roman"/>
        <family val="1"/>
        <charset val="204"/>
      </rPr>
      <t xml:space="preserve"> </t>
    </r>
    <r>
      <rPr>
        <u/>
        <sz val="14"/>
        <color rgb="FF000000"/>
        <rFont val="Times New Roman"/>
        <family val="1"/>
        <charset val="204"/>
      </rPr>
      <t xml:space="preserve">               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</si>
</sst>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0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u/>
      <sz val="11"/>
      <color theme="1"/>
      <name val="Times New Roman"/>
      <family val="1"/>
      <charset val="204"/>
    </font>
    <font>
      <sz val="9"/>
      <color rgb="FF000000"/>
      <name val="Times New Roman"/>
      <family val="1"/>
      <charset val="204"/>
    </font>
    <font>
      <vertAlign val="superscript"/>
      <sz val="11"/>
      <color theme="1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u/>
      <sz val="12"/>
      <color rgb="FF000000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b/>
      <sz val="11"/>
      <color theme="1"/>
      <name val="Calibri"/>
      <family val="2"/>
      <charset val="204"/>
      <scheme val="minor"/>
    </font>
    <font>
      <b/>
      <vertAlign val="superscript"/>
      <sz val="11"/>
      <color theme="1"/>
      <name val="Calibri"/>
      <family val="2"/>
      <charset val="204"/>
      <scheme val="minor"/>
    </font>
    <font>
      <sz val="10"/>
      <color rgb="FF000000"/>
      <name val="Times New Roman"/>
      <family val="1"/>
      <charset val="204"/>
    </font>
    <font>
      <b/>
      <sz val="11"/>
      <color rgb="FF000000"/>
      <name val="Times New Roman"/>
      <family val="1"/>
      <charset val="204"/>
    </font>
    <font>
      <sz val="8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u/>
      <sz val="12"/>
      <color theme="1"/>
      <name val="Times New Roman"/>
      <family val="1"/>
      <charset val="204"/>
    </font>
    <font>
      <sz val="12"/>
      <color theme="1"/>
      <name val="Calibri"/>
      <family val="2"/>
      <charset val="204"/>
      <scheme val="minor"/>
    </font>
    <font>
      <vertAlign val="superscript"/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vertAlign val="superscript"/>
      <sz val="14"/>
      <color theme="1"/>
      <name val="Calibri"/>
      <family val="2"/>
      <charset val="204"/>
      <scheme val="minor"/>
    </font>
    <font>
      <b/>
      <sz val="14"/>
      <color theme="1"/>
      <name val="Times New Roman"/>
      <family val="1"/>
      <charset val="204"/>
    </font>
    <font>
      <b/>
      <sz val="16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u/>
      <sz val="14"/>
      <color theme="1"/>
      <name val="Times New Roman"/>
      <family val="1"/>
      <charset val="204"/>
    </font>
    <font>
      <b/>
      <sz val="14"/>
      <color rgb="FF000000"/>
      <name val="Times New Roman"/>
      <family val="1"/>
      <charset val="204"/>
    </font>
    <font>
      <u/>
      <sz val="14"/>
      <color rgb="FF00000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Continuous" vertical="center" wrapText="1"/>
    </xf>
    <xf numFmtId="0" fontId="1" fillId="0" borderId="0" xfId="0" applyFont="1" applyAlignment="1">
      <alignment horizontal="centerContinuous" vertical="center" wrapText="1"/>
    </xf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0" xfId="0" applyFont="1"/>
    <xf numFmtId="0" fontId="0" fillId="0" borderId="1" xfId="0" applyBorder="1" applyAlignment="1">
      <alignment horizontal="center" vertical="center" wrapText="1"/>
    </xf>
    <xf numFmtId="0" fontId="7" fillId="0" borderId="0" xfId="0" applyFont="1"/>
    <xf numFmtId="0" fontId="7" fillId="0" borderId="0" xfId="0" applyFont="1" applyAlignment="1">
      <alignment vertical="center"/>
    </xf>
    <xf numFmtId="0" fontId="7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11" fillId="0" borderId="0" xfId="0" applyFont="1" applyBorder="1" applyAlignment="1">
      <alignment horizontal="center" vertical="center" wrapText="1"/>
    </xf>
    <xf numFmtId="0" fontId="17" fillId="0" borderId="0" xfId="0" applyFont="1"/>
    <xf numFmtId="0" fontId="9" fillId="0" borderId="0" xfId="0" applyFont="1"/>
    <xf numFmtId="0" fontId="17" fillId="0" borderId="0" xfId="0" applyFont="1" applyAlignment="1">
      <alignment horizontal="centerContinuous" vertical="center" wrapText="1"/>
    </xf>
    <xf numFmtId="0" fontId="9" fillId="0" borderId="0" xfId="0" applyFont="1" applyAlignment="1">
      <alignment horizontal="centerContinuous" vertical="center" wrapText="1"/>
    </xf>
    <xf numFmtId="0" fontId="9" fillId="0" borderId="0" xfId="0" applyFont="1" applyBorder="1" applyAlignment="1">
      <alignment horizontal="center" vertical="center" wrapText="1"/>
    </xf>
    <xf numFmtId="0" fontId="18" fillId="0" borderId="0" xfId="0" applyFont="1"/>
    <xf numFmtId="0" fontId="2" fillId="0" borderId="0" xfId="0" applyFont="1" applyAlignment="1">
      <alignment horizontal="center" vertical="center"/>
    </xf>
    <xf numFmtId="0" fontId="9" fillId="0" borderId="3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19" fillId="0" borderId="0" xfId="0" applyFont="1"/>
    <xf numFmtId="0" fontId="19" fillId="0" borderId="0" xfId="0" applyFont="1" applyBorder="1" applyAlignment="1">
      <alignment horizontal="center" vertical="center" wrapText="1"/>
    </xf>
    <xf numFmtId="0" fontId="21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14" fillId="0" borderId="0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25" fillId="0" borderId="0" xfId="0" applyFont="1" applyAlignment="1">
      <alignment horizontal="centerContinuous" vertical="center" wrapText="1"/>
    </xf>
    <xf numFmtId="0" fontId="26" fillId="0" borderId="0" xfId="0" applyFont="1"/>
    <xf numFmtId="0" fontId="10" fillId="0" borderId="0" xfId="0" applyFont="1" applyAlignment="1">
      <alignment vertical="center"/>
    </xf>
    <xf numFmtId="0" fontId="10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2"/>
  <sheetViews>
    <sheetView tabSelected="1" zoomScale="85" zoomScaleNormal="85" workbookViewId="0">
      <selection activeCell="D17" sqref="D17"/>
    </sheetView>
  </sheetViews>
  <sheetFormatPr defaultRowHeight="15" x14ac:dyDescent="0.25"/>
  <cols>
    <col min="1" max="1" width="3.42578125" style="2" customWidth="1"/>
    <col min="2" max="2" width="27.7109375" style="2" customWidth="1"/>
    <col min="3" max="16" width="10.5703125" style="2" customWidth="1"/>
    <col min="17" max="16384" width="9.140625" style="2"/>
  </cols>
  <sheetData>
    <row r="1" spans="1:16" ht="36" customHeight="1" x14ac:dyDescent="0.25">
      <c r="A1" s="1" t="s">
        <v>0</v>
      </c>
    </row>
    <row r="2" spans="1:16" ht="21" customHeight="1" x14ac:dyDescent="0.25">
      <c r="A2" s="1" t="s">
        <v>1</v>
      </c>
    </row>
    <row r="3" spans="1:16" ht="21" customHeight="1" x14ac:dyDescent="0.25">
      <c r="A3" s="1" t="s">
        <v>85</v>
      </c>
    </row>
    <row r="4" spans="1:16" ht="21" customHeight="1" x14ac:dyDescent="0.25">
      <c r="A4" s="1" t="s">
        <v>2</v>
      </c>
    </row>
    <row r="5" spans="1:16" ht="9.75" customHeight="1" x14ac:dyDescent="0.25"/>
    <row r="6" spans="1:16" ht="18" customHeight="1" x14ac:dyDescent="0.25">
      <c r="A6" s="55" t="s">
        <v>3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6" ht="18.75" customHeight="1" x14ac:dyDescent="0.25">
      <c r="A7" s="55" t="s">
        <v>86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16" ht="18.75" customHeight="1" x14ac:dyDescent="0.3">
      <c r="C8" s="56" t="s">
        <v>87</v>
      </c>
    </row>
    <row r="9" spans="1:16" ht="18.75" customHeight="1" x14ac:dyDescent="0.3">
      <c r="C9" s="56" t="s">
        <v>88</v>
      </c>
    </row>
    <row r="10" spans="1:16" ht="18.75" customHeight="1" x14ac:dyDescent="0.3">
      <c r="C10" s="56" t="s">
        <v>89</v>
      </c>
    </row>
    <row r="11" spans="1:16" ht="18.75" customHeight="1" x14ac:dyDescent="0.25">
      <c r="C11" s="57" t="s">
        <v>90</v>
      </c>
    </row>
    <row r="12" spans="1:16" ht="18.75" x14ac:dyDescent="0.3">
      <c r="C12" s="58" t="s">
        <v>91</v>
      </c>
    </row>
    <row r="13" spans="1:16" x14ac:dyDescent="0.25">
      <c r="A13" s="4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</row>
    <row r="15" spans="1:16" s="5" customFormat="1" ht="81.75" customHeight="1" x14ac:dyDescent="0.25">
      <c r="A15" s="45" t="s">
        <v>4</v>
      </c>
      <c r="B15" s="47" t="s">
        <v>23</v>
      </c>
      <c r="C15" s="43" t="s">
        <v>12</v>
      </c>
      <c r="D15" s="44"/>
      <c r="E15" s="43" t="s">
        <v>13</v>
      </c>
      <c r="F15" s="44"/>
      <c r="G15" s="43" t="s">
        <v>14</v>
      </c>
      <c r="H15" s="44"/>
      <c r="I15" s="41" t="s">
        <v>21</v>
      </c>
      <c r="J15" s="42"/>
      <c r="K15" s="41" t="s">
        <v>22</v>
      </c>
      <c r="L15" s="42"/>
      <c r="M15" s="43" t="s">
        <v>15</v>
      </c>
      <c r="N15" s="44"/>
      <c r="O15" s="43" t="s">
        <v>16</v>
      </c>
      <c r="P15" s="44"/>
    </row>
    <row r="16" spans="1:16" s="5" customFormat="1" ht="39.75" customHeight="1" x14ac:dyDescent="0.25">
      <c r="A16" s="46"/>
      <c r="B16" s="48"/>
      <c r="C16" s="6" t="s">
        <v>19</v>
      </c>
      <c r="D16" s="6" t="s">
        <v>20</v>
      </c>
      <c r="E16" s="6" t="s">
        <v>19</v>
      </c>
      <c r="F16" s="6" t="s">
        <v>20</v>
      </c>
      <c r="G16" s="6" t="s">
        <v>19</v>
      </c>
      <c r="H16" s="6" t="s">
        <v>20</v>
      </c>
      <c r="I16" s="6" t="s">
        <v>19</v>
      </c>
      <c r="J16" s="6" t="s">
        <v>20</v>
      </c>
      <c r="K16" s="6" t="s">
        <v>19</v>
      </c>
      <c r="L16" s="6" t="s">
        <v>20</v>
      </c>
      <c r="M16" s="6" t="s">
        <v>19</v>
      </c>
      <c r="N16" s="6" t="s">
        <v>20</v>
      </c>
      <c r="O16" s="6" t="s">
        <v>19</v>
      </c>
      <c r="P16" s="6" t="s">
        <v>20</v>
      </c>
    </row>
    <row r="17" spans="1:16" s="5" customFormat="1" ht="39.75" customHeight="1" x14ac:dyDescent="0.25">
      <c r="A17" s="16">
        <v>1</v>
      </c>
      <c r="B17" s="17"/>
      <c r="C17" s="9"/>
      <c r="D17" s="15"/>
      <c r="E17" s="6"/>
      <c r="F17" s="20"/>
      <c r="G17" s="19"/>
      <c r="H17" s="7"/>
      <c r="I17" s="22"/>
      <c r="J17" s="15"/>
      <c r="K17" s="7"/>
      <c r="L17" s="7"/>
      <c r="M17" s="13"/>
      <c r="N17" s="13"/>
      <c r="O17" s="13"/>
      <c r="P17" s="13"/>
    </row>
    <row r="18" spans="1:16" ht="43.5" customHeight="1" x14ac:dyDescent="0.25">
      <c r="B18" s="2" t="s">
        <v>11</v>
      </c>
    </row>
    <row r="19" spans="1:16" ht="26.25" customHeight="1" x14ac:dyDescent="0.25">
      <c r="B19" s="2" t="s">
        <v>5</v>
      </c>
    </row>
    <row r="20" spans="1:16" ht="26.25" customHeight="1" x14ac:dyDescent="0.25">
      <c r="B20" s="2" t="s">
        <v>10</v>
      </c>
      <c r="E20" s="8" t="s">
        <v>9</v>
      </c>
    </row>
    <row r="22" spans="1:16" x14ac:dyDescent="0.25">
      <c r="B22" s="2" t="s">
        <v>8</v>
      </c>
      <c r="E22" s="8" t="s">
        <v>9</v>
      </c>
    </row>
  </sheetData>
  <mergeCells count="9">
    <mergeCell ref="K15:L15"/>
    <mergeCell ref="M15:N15"/>
    <mergeCell ref="O15:P15"/>
    <mergeCell ref="A15:A16"/>
    <mergeCell ref="B15:B16"/>
    <mergeCell ref="C15:D15"/>
    <mergeCell ref="E15:F15"/>
    <mergeCell ref="G15:H15"/>
    <mergeCell ref="I15:J15"/>
  </mergeCells>
  <printOptions horizontalCentered="1"/>
  <pageMargins left="0.19685039370078741" right="0.19685039370078741" top="0.35433070866141736" bottom="0.19685039370078741" header="0.35433070866141736" footer="0.19685039370078741"/>
  <pageSetup paperSize="9" scale="8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5"/>
  <sheetViews>
    <sheetView topLeftCell="A7" zoomScaleNormal="100" workbookViewId="0">
      <selection activeCell="D19" sqref="D19"/>
    </sheetView>
  </sheetViews>
  <sheetFormatPr defaultRowHeight="15" x14ac:dyDescent="0.25"/>
  <cols>
    <col min="1" max="1" width="3.42578125" style="2" customWidth="1"/>
    <col min="2" max="2" width="27.7109375" style="2" customWidth="1"/>
    <col min="3" max="18" width="10.5703125" style="2" customWidth="1"/>
    <col min="19" max="16384" width="9.140625" style="2"/>
  </cols>
  <sheetData>
    <row r="1" spans="1:16" ht="36" customHeight="1" x14ac:dyDescent="0.25">
      <c r="A1" s="1" t="s">
        <v>0</v>
      </c>
    </row>
    <row r="2" spans="1:16" ht="21" customHeight="1" x14ac:dyDescent="0.25">
      <c r="A2" s="1" t="s">
        <v>1</v>
      </c>
    </row>
    <row r="3" spans="1:16" ht="21" customHeight="1" x14ac:dyDescent="0.25">
      <c r="A3" s="1" t="s">
        <v>24</v>
      </c>
    </row>
    <row r="4" spans="1:16" ht="21" customHeight="1" x14ac:dyDescent="0.25">
      <c r="A4" s="1" t="s">
        <v>2</v>
      </c>
    </row>
    <row r="5" spans="1:16" ht="9.75" customHeight="1" x14ac:dyDescent="0.25"/>
    <row r="6" spans="1:16" ht="18" customHeight="1" x14ac:dyDescent="0.25">
      <c r="A6" s="4" t="s">
        <v>3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ht="18.75" customHeight="1" x14ac:dyDescent="0.25">
      <c r="A7" s="4" t="s">
        <v>31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16" ht="18.75" customHeight="1" x14ac:dyDescent="0.25">
      <c r="C8" s="2" t="s">
        <v>32</v>
      </c>
    </row>
    <row r="9" spans="1:16" ht="18.75" customHeight="1" x14ac:dyDescent="0.25">
      <c r="C9" s="2" t="s">
        <v>28</v>
      </c>
    </row>
    <row r="10" spans="1:16" ht="18.75" customHeight="1" x14ac:dyDescent="0.25">
      <c r="C10" s="2" t="s">
        <v>29</v>
      </c>
    </row>
    <row r="11" spans="1:16" ht="18.75" customHeight="1" x14ac:dyDescent="0.25">
      <c r="C11" s="11" t="s">
        <v>25</v>
      </c>
    </row>
    <row r="12" spans="1:16" ht="15.75" x14ac:dyDescent="0.25">
      <c r="C12" s="10" t="s">
        <v>26</v>
      </c>
    </row>
    <row r="13" spans="1:16" x14ac:dyDescent="0.25">
      <c r="A13" s="4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5" spans="1:16" s="5" customFormat="1" ht="81.75" customHeight="1" x14ac:dyDescent="0.25">
      <c r="A15" s="45" t="s">
        <v>4</v>
      </c>
      <c r="B15" s="47" t="s">
        <v>23</v>
      </c>
      <c r="C15" s="43" t="s">
        <v>12</v>
      </c>
      <c r="D15" s="44"/>
      <c r="E15" s="43" t="s">
        <v>13</v>
      </c>
      <c r="F15" s="44"/>
      <c r="G15" s="43" t="s">
        <v>14</v>
      </c>
      <c r="H15" s="44"/>
      <c r="I15" s="43" t="s">
        <v>40</v>
      </c>
      <c r="J15" s="44"/>
      <c r="K15" s="43" t="s">
        <v>41</v>
      </c>
      <c r="L15" s="42"/>
      <c r="M15" s="41" t="s">
        <v>22</v>
      </c>
      <c r="N15" s="42"/>
      <c r="O15" s="43" t="s">
        <v>15</v>
      </c>
      <c r="P15" s="44"/>
    </row>
    <row r="16" spans="1:16" s="5" customFormat="1" ht="39.75" customHeight="1" x14ac:dyDescent="0.25">
      <c r="A16" s="46"/>
      <c r="B16" s="48"/>
      <c r="C16" s="6" t="s">
        <v>19</v>
      </c>
      <c r="D16" s="6" t="s">
        <v>20</v>
      </c>
      <c r="E16" s="6" t="s">
        <v>19</v>
      </c>
      <c r="F16" s="6" t="s">
        <v>20</v>
      </c>
      <c r="G16" s="6" t="s">
        <v>19</v>
      </c>
      <c r="H16" s="6" t="s">
        <v>20</v>
      </c>
      <c r="I16" s="6" t="s">
        <v>19</v>
      </c>
      <c r="J16" s="6" t="s">
        <v>20</v>
      </c>
      <c r="K16" s="6" t="s">
        <v>19</v>
      </c>
      <c r="L16" s="6" t="s">
        <v>20</v>
      </c>
      <c r="M16" s="6" t="s">
        <v>19</v>
      </c>
      <c r="N16" s="6" t="s">
        <v>20</v>
      </c>
      <c r="O16" s="6" t="s">
        <v>19</v>
      </c>
      <c r="P16" s="6" t="s">
        <v>20</v>
      </c>
    </row>
    <row r="17" spans="1:17" s="5" customFormat="1" ht="39.75" customHeight="1" x14ac:dyDescent="0.25">
      <c r="A17" s="16">
        <v>1</v>
      </c>
      <c r="B17" s="17" t="s">
        <v>33</v>
      </c>
      <c r="C17" s="9" t="s">
        <v>34</v>
      </c>
      <c r="D17" s="15" t="s">
        <v>46</v>
      </c>
      <c r="E17" s="6" t="s">
        <v>44</v>
      </c>
      <c r="F17" s="7" t="s">
        <v>18</v>
      </c>
      <c r="G17" s="19" t="s">
        <v>42</v>
      </c>
      <c r="H17" s="7" t="s">
        <v>18</v>
      </c>
      <c r="I17" s="22" t="s">
        <v>54</v>
      </c>
      <c r="J17" s="7" t="s">
        <v>18</v>
      </c>
      <c r="K17" s="22" t="s">
        <v>54</v>
      </c>
      <c r="L17" s="15" t="s">
        <v>49</v>
      </c>
      <c r="M17" s="13" t="s">
        <v>6</v>
      </c>
      <c r="N17" s="13" t="s">
        <v>6</v>
      </c>
      <c r="O17" s="13" t="s">
        <v>6</v>
      </c>
      <c r="P17" s="13" t="s">
        <v>6</v>
      </c>
      <c r="Q17" s="21"/>
    </row>
    <row r="18" spans="1:17" s="5" customFormat="1" ht="39.75" customHeight="1" x14ac:dyDescent="0.25">
      <c r="A18" s="16">
        <v>2</v>
      </c>
      <c r="B18" s="17" t="s">
        <v>35</v>
      </c>
      <c r="C18" s="9" t="s">
        <v>27</v>
      </c>
      <c r="D18" s="9" t="s">
        <v>27</v>
      </c>
      <c r="E18" s="6" t="s">
        <v>43</v>
      </c>
      <c r="F18" s="7" t="s">
        <v>18</v>
      </c>
      <c r="G18" s="19" t="s">
        <v>42</v>
      </c>
      <c r="H18" s="7" t="s">
        <v>18</v>
      </c>
      <c r="I18" s="22" t="s">
        <v>54</v>
      </c>
      <c r="J18" s="7" t="s">
        <v>18</v>
      </c>
      <c r="K18" s="22" t="s">
        <v>54</v>
      </c>
      <c r="L18" s="15" t="s">
        <v>50</v>
      </c>
      <c r="M18" s="13" t="s">
        <v>6</v>
      </c>
      <c r="N18" s="13" t="s">
        <v>6</v>
      </c>
      <c r="O18" s="13" t="s">
        <v>6</v>
      </c>
      <c r="P18" s="13" t="s">
        <v>6</v>
      </c>
    </row>
    <row r="19" spans="1:17" s="5" customFormat="1" ht="39.75" customHeight="1" x14ac:dyDescent="0.25">
      <c r="A19" s="16">
        <v>3</v>
      </c>
      <c r="B19" s="17" t="s">
        <v>36</v>
      </c>
      <c r="C19" s="9" t="s">
        <v>27</v>
      </c>
      <c r="D19" s="15" t="s">
        <v>47</v>
      </c>
      <c r="E19" s="6" t="s">
        <v>45</v>
      </c>
      <c r="F19" s="7" t="s">
        <v>18</v>
      </c>
      <c r="G19" s="19" t="s">
        <v>42</v>
      </c>
      <c r="H19" s="7" t="s">
        <v>18</v>
      </c>
      <c r="I19" s="22" t="s">
        <v>54</v>
      </c>
      <c r="J19" s="7" t="s">
        <v>18</v>
      </c>
      <c r="K19" s="22" t="s">
        <v>54</v>
      </c>
      <c r="L19" s="15" t="s">
        <v>51</v>
      </c>
      <c r="M19" s="7" t="s">
        <v>7</v>
      </c>
      <c r="N19" s="7" t="s">
        <v>18</v>
      </c>
      <c r="O19" s="13" t="s">
        <v>6</v>
      </c>
      <c r="P19" s="13" t="s">
        <v>6</v>
      </c>
    </row>
    <row r="20" spans="1:17" s="5" customFormat="1" ht="39.75" customHeight="1" x14ac:dyDescent="0.25">
      <c r="A20" s="16">
        <v>4</v>
      </c>
      <c r="B20" s="17" t="s">
        <v>37</v>
      </c>
      <c r="C20" s="9" t="s">
        <v>30</v>
      </c>
      <c r="D20" s="9" t="s">
        <v>27</v>
      </c>
      <c r="E20" s="6" t="s">
        <v>45</v>
      </c>
      <c r="F20" s="20" t="s">
        <v>39</v>
      </c>
      <c r="G20" s="19" t="s">
        <v>42</v>
      </c>
      <c r="H20" s="7" t="s">
        <v>18</v>
      </c>
      <c r="I20" s="22" t="s">
        <v>54</v>
      </c>
      <c r="J20" s="7" t="s">
        <v>18</v>
      </c>
      <c r="K20" s="22" t="s">
        <v>54</v>
      </c>
      <c r="L20" s="15" t="s">
        <v>52</v>
      </c>
      <c r="M20" s="7" t="s">
        <v>7</v>
      </c>
      <c r="N20" s="7" t="s">
        <v>18</v>
      </c>
      <c r="O20" s="13" t="s">
        <v>6</v>
      </c>
      <c r="P20" s="13" t="s">
        <v>6</v>
      </c>
    </row>
    <row r="21" spans="1:17" s="5" customFormat="1" ht="39.75" customHeight="1" x14ac:dyDescent="0.25">
      <c r="A21" s="16">
        <v>5</v>
      </c>
      <c r="B21" s="17" t="s">
        <v>38</v>
      </c>
      <c r="C21" s="9" t="s">
        <v>17</v>
      </c>
      <c r="D21" s="15" t="s">
        <v>48</v>
      </c>
      <c r="E21" s="6" t="s">
        <v>44</v>
      </c>
      <c r="F21" s="20" t="s">
        <v>39</v>
      </c>
      <c r="G21" s="19" t="s">
        <v>42</v>
      </c>
      <c r="H21" s="7" t="s">
        <v>18</v>
      </c>
      <c r="I21" s="22" t="s">
        <v>54</v>
      </c>
      <c r="J21" s="7" t="s">
        <v>18</v>
      </c>
      <c r="K21" s="22" t="s">
        <v>54</v>
      </c>
      <c r="L21" s="15" t="s">
        <v>53</v>
      </c>
      <c r="M21" s="7" t="s">
        <v>7</v>
      </c>
      <c r="N21" s="7" t="s">
        <v>18</v>
      </c>
      <c r="O21" s="13" t="s">
        <v>6</v>
      </c>
      <c r="P21" s="13" t="s">
        <v>6</v>
      </c>
    </row>
    <row r="22" spans="1:17" ht="22.5" customHeight="1" x14ac:dyDescent="0.25">
      <c r="B22" s="2" t="s">
        <v>11</v>
      </c>
    </row>
    <row r="23" spans="1:17" ht="22.5" customHeight="1" x14ac:dyDescent="0.25">
      <c r="B23" s="2" t="s">
        <v>5</v>
      </c>
    </row>
    <row r="24" spans="1:17" ht="22.5" customHeight="1" x14ac:dyDescent="0.25">
      <c r="B24" s="2" t="s">
        <v>10</v>
      </c>
      <c r="E24" s="8" t="s">
        <v>9</v>
      </c>
    </row>
    <row r="25" spans="1:17" ht="22.5" customHeight="1" x14ac:dyDescent="0.25">
      <c r="B25" s="2" t="s">
        <v>8</v>
      </c>
      <c r="E25" s="8" t="s">
        <v>9</v>
      </c>
    </row>
  </sheetData>
  <mergeCells count="9">
    <mergeCell ref="M15:N15"/>
    <mergeCell ref="O15:P15"/>
    <mergeCell ref="I15:J15"/>
    <mergeCell ref="A15:A16"/>
    <mergeCell ref="B15:B16"/>
    <mergeCell ref="C15:D15"/>
    <mergeCell ref="E15:F15"/>
    <mergeCell ref="G15:H15"/>
    <mergeCell ref="K15:L15"/>
  </mergeCells>
  <printOptions horizontalCentered="1"/>
  <pageMargins left="0.19685039370078741" right="0.19685039370078741" top="0.35433070866141736" bottom="0.19685039370078741" header="0.35433070866141736" footer="0.19685039370078741"/>
  <pageSetup paperSize="9" scale="80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2"/>
  <sheetViews>
    <sheetView topLeftCell="A6" zoomScaleNormal="100" workbookViewId="0">
      <selection activeCell="C17" sqref="C17"/>
    </sheetView>
  </sheetViews>
  <sheetFormatPr defaultRowHeight="15" x14ac:dyDescent="0.25"/>
  <cols>
    <col min="1" max="1" width="3.42578125" style="2" customWidth="1"/>
    <col min="2" max="2" width="31.85546875" style="2" customWidth="1"/>
    <col min="3" max="14" width="10.5703125" style="2" customWidth="1"/>
    <col min="15" max="16384" width="9.140625" style="2"/>
  </cols>
  <sheetData>
    <row r="1" spans="1:20" ht="36" customHeight="1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</row>
    <row r="2" spans="1:20" ht="21" customHeight="1" x14ac:dyDescent="0.25">
      <c r="A2" s="25" t="s">
        <v>1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</row>
    <row r="3" spans="1:20" ht="21" customHeight="1" x14ac:dyDescent="0.25">
      <c r="A3" s="25" t="s">
        <v>24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</row>
    <row r="4" spans="1:20" ht="21" customHeight="1" x14ac:dyDescent="0.25">
      <c r="A4" s="25" t="s">
        <v>2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</row>
    <row r="5" spans="1:20" ht="9.75" customHeight="1" x14ac:dyDescent="0.25">
      <c r="A5" s="26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</row>
    <row r="6" spans="1:20" ht="18" customHeight="1" x14ac:dyDescent="0.25">
      <c r="A6" s="27" t="s">
        <v>3</v>
      </c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</row>
    <row r="7" spans="1:20" ht="18.75" customHeight="1" x14ac:dyDescent="0.25">
      <c r="A7" s="27" t="s">
        <v>60</v>
      </c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</row>
    <row r="8" spans="1:20" ht="18.75" customHeight="1" x14ac:dyDescent="0.25">
      <c r="A8" s="26"/>
      <c r="B8" s="26"/>
      <c r="C8" s="26" t="s">
        <v>61</v>
      </c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</row>
    <row r="9" spans="1:20" ht="18.75" customHeight="1" x14ac:dyDescent="0.25">
      <c r="A9" s="26"/>
      <c r="B9" s="26"/>
      <c r="C9" s="26" t="s">
        <v>62</v>
      </c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</row>
    <row r="10" spans="1:20" ht="18.75" customHeight="1" x14ac:dyDescent="0.25">
      <c r="A10" s="26"/>
      <c r="B10" s="26"/>
      <c r="C10" s="26" t="s">
        <v>63</v>
      </c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</row>
    <row r="11" spans="1:20" ht="18.75" customHeight="1" x14ac:dyDescent="0.25">
      <c r="A11" s="26"/>
      <c r="B11" s="26"/>
      <c r="C11" s="11" t="s">
        <v>25</v>
      </c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</row>
    <row r="12" spans="1:20" ht="15.75" x14ac:dyDescent="0.25">
      <c r="A12" s="26"/>
      <c r="B12" s="26"/>
      <c r="C12" s="10" t="s">
        <v>26</v>
      </c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</row>
    <row r="13" spans="1:20" ht="15.75" x14ac:dyDescent="0.25">
      <c r="A13" s="27"/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</row>
    <row r="14" spans="1:20" ht="15.75" x14ac:dyDescent="0.25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</row>
    <row r="15" spans="1:20" s="5" customFormat="1" ht="81.75" customHeight="1" x14ac:dyDescent="0.25">
      <c r="A15" s="53" t="s">
        <v>4</v>
      </c>
      <c r="B15" s="53" t="s">
        <v>23</v>
      </c>
      <c r="C15" s="51" t="s">
        <v>12</v>
      </c>
      <c r="D15" s="52"/>
      <c r="E15" s="51" t="s">
        <v>13</v>
      </c>
      <c r="F15" s="52"/>
      <c r="G15" s="51" t="s">
        <v>14</v>
      </c>
      <c r="H15" s="52"/>
      <c r="I15" s="51" t="s">
        <v>59</v>
      </c>
      <c r="J15" s="52"/>
      <c r="K15" s="49" t="s">
        <v>22</v>
      </c>
      <c r="L15" s="50"/>
      <c r="M15" s="51" t="s">
        <v>15</v>
      </c>
      <c r="N15" s="52"/>
    </row>
    <row r="16" spans="1:20" s="5" customFormat="1" ht="39.75" customHeight="1" x14ac:dyDescent="0.25">
      <c r="A16" s="54"/>
      <c r="B16" s="54"/>
      <c r="C16" s="6" t="s">
        <v>19</v>
      </c>
      <c r="D16" s="18" t="s">
        <v>20</v>
      </c>
      <c r="E16" s="6" t="s">
        <v>19</v>
      </c>
      <c r="F16" s="18" t="s">
        <v>20</v>
      </c>
      <c r="G16" s="6" t="s">
        <v>19</v>
      </c>
      <c r="H16" s="18" t="s">
        <v>20</v>
      </c>
      <c r="I16" s="6" t="s">
        <v>19</v>
      </c>
      <c r="J16" s="18" t="s">
        <v>20</v>
      </c>
      <c r="K16" s="6" t="s">
        <v>19</v>
      </c>
      <c r="L16" s="18" t="s">
        <v>20</v>
      </c>
      <c r="M16" s="6" t="s">
        <v>19</v>
      </c>
      <c r="N16" s="18" t="s">
        <v>20</v>
      </c>
      <c r="S16" s="5">
        <v>0.1</v>
      </c>
      <c r="T16" s="5">
        <v>180</v>
      </c>
    </row>
    <row r="17" spans="1:21" s="5" customFormat="1" ht="39.75" customHeight="1" x14ac:dyDescent="0.25">
      <c r="A17" s="23">
        <v>1</v>
      </c>
      <c r="B17" s="23" t="s">
        <v>64</v>
      </c>
      <c r="C17" s="33" t="s">
        <v>66</v>
      </c>
      <c r="D17" s="33" t="s">
        <v>67</v>
      </c>
      <c r="E17" s="12">
        <v>0.01</v>
      </c>
      <c r="F17" s="19" t="s">
        <v>18</v>
      </c>
      <c r="G17" s="12" t="s">
        <v>56</v>
      </c>
      <c r="H17" s="19" t="s">
        <v>18</v>
      </c>
      <c r="I17" s="12" t="s">
        <v>6</v>
      </c>
      <c r="J17" s="12" t="s">
        <v>6</v>
      </c>
      <c r="K17" s="12" t="s">
        <v>6</v>
      </c>
      <c r="L17" s="12" t="s">
        <v>6</v>
      </c>
      <c r="M17" s="12" t="s">
        <v>65</v>
      </c>
      <c r="N17" s="19" t="s">
        <v>18</v>
      </c>
      <c r="S17" s="5">
        <v>0.1</v>
      </c>
      <c r="T17" s="5">
        <v>150</v>
      </c>
    </row>
    <row r="18" spans="1:21" s="5" customFormat="1" ht="39.75" customHeight="1" x14ac:dyDescent="0.25">
      <c r="A18" s="29"/>
      <c r="B18" s="29"/>
      <c r="C18" s="14"/>
      <c r="D18" s="14"/>
      <c r="E18" s="14"/>
      <c r="F18" s="14"/>
      <c r="G18" s="14"/>
      <c r="H18" s="14"/>
      <c r="I18" s="29"/>
      <c r="J18" s="24"/>
      <c r="K18" s="14"/>
      <c r="L18" s="14"/>
      <c r="M18" s="14"/>
      <c r="N18" s="14"/>
      <c r="S18" s="5">
        <v>0.01</v>
      </c>
      <c r="T18" s="5">
        <v>60</v>
      </c>
    </row>
    <row r="19" spans="1:21" ht="22.5" customHeight="1" x14ac:dyDescent="0.25">
      <c r="A19" s="26"/>
      <c r="B19" s="26" t="s">
        <v>5</v>
      </c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S19" s="31">
        <v>0.01</v>
      </c>
      <c r="T19" s="31">
        <v>42</v>
      </c>
      <c r="U19" s="31"/>
    </row>
    <row r="20" spans="1:21" ht="22.5" customHeight="1" x14ac:dyDescent="0.25">
      <c r="A20" s="26"/>
      <c r="B20" s="26" t="s">
        <v>55</v>
      </c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</row>
    <row r="21" spans="1:21" ht="22.5" customHeight="1" x14ac:dyDescent="0.25">
      <c r="A21" s="26"/>
      <c r="B21" s="26" t="s">
        <v>58</v>
      </c>
      <c r="C21" s="26"/>
      <c r="D21" s="26"/>
      <c r="E21" s="30" t="s">
        <v>57</v>
      </c>
      <c r="F21" s="26"/>
      <c r="G21" s="26"/>
      <c r="H21" s="26"/>
      <c r="I21" s="26"/>
      <c r="J21" s="26"/>
      <c r="K21" s="26"/>
      <c r="L21" s="26"/>
      <c r="M21" s="26"/>
      <c r="N21" s="26"/>
    </row>
    <row r="22" spans="1:21" ht="22.5" customHeight="1" x14ac:dyDescent="0.25">
      <c r="A22" s="26"/>
      <c r="B22" s="26" t="s">
        <v>8</v>
      </c>
      <c r="C22" s="26"/>
      <c r="D22" s="26"/>
      <c r="E22" s="30" t="s">
        <v>57</v>
      </c>
      <c r="F22" s="26"/>
      <c r="G22" s="26"/>
      <c r="H22" s="26"/>
      <c r="I22" s="26"/>
      <c r="J22" s="26"/>
      <c r="K22" s="26"/>
      <c r="L22" s="26"/>
      <c r="M22" s="26"/>
      <c r="N22" s="26"/>
    </row>
  </sheetData>
  <mergeCells count="8">
    <mergeCell ref="K15:L15"/>
    <mergeCell ref="M15:N15"/>
    <mergeCell ref="A15:A16"/>
    <mergeCell ref="B15:B16"/>
    <mergeCell ref="C15:D15"/>
    <mergeCell ref="E15:F15"/>
    <mergeCell ref="G15:H15"/>
    <mergeCell ref="I15:J15"/>
  </mergeCells>
  <printOptions horizontalCentered="1"/>
  <pageMargins left="0.19685039370078741" right="0.19685039370078741" top="0.35433070866141736" bottom="0.19685039370078741" header="0.35433070866141736" footer="0.19685039370078741"/>
  <pageSetup paperSize="9" scale="80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8"/>
  <sheetViews>
    <sheetView topLeftCell="A13" zoomScale="85" zoomScaleNormal="85" workbookViewId="0">
      <selection activeCell="P23" sqref="P23"/>
    </sheetView>
  </sheetViews>
  <sheetFormatPr defaultRowHeight="15" x14ac:dyDescent="0.25"/>
  <cols>
    <col min="1" max="1" width="3.42578125" style="2" customWidth="1"/>
    <col min="2" max="2" width="31.85546875" style="2" customWidth="1"/>
    <col min="3" max="14" width="10.5703125" style="2" customWidth="1"/>
    <col min="15" max="16384" width="9.140625" style="2"/>
  </cols>
  <sheetData>
    <row r="1" spans="1:20" ht="36" customHeight="1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</row>
    <row r="2" spans="1:20" ht="21" customHeight="1" x14ac:dyDescent="0.25">
      <c r="A2" s="25" t="s">
        <v>1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</row>
    <row r="3" spans="1:20" ht="21" customHeight="1" x14ac:dyDescent="0.25">
      <c r="A3" s="25" t="s">
        <v>24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</row>
    <row r="4" spans="1:20" ht="21" customHeight="1" x14ac:dyDescent="0.25">
      <c r="A4" s="25" t="s">
        <v>2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</row>
    <row r="5" spans="1:20" ht="9.75" customHeight="1" x14ac:dyDescent="0.25">
      <c r="A5" s="26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</row>
    <row r="6" spans="1:20" ht="18" customHeight="1" x14ac:dyDescent="0.25">
      <c r="A6" s="27" t="s">
        <v>3</v>
      </c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</row>
    <row r="7" spans="1:20" ht="18.75" customHeight="1" x14ac:dyDescent="0.25">
      <c r="A7" s="27" t="s">
        <v>78</v>
      </c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</row>
    <row r="8" spans="1:20" ht="18.75" customHeight="1" x14ac:dyDescent="0.25">
      <c r="A8" s="26"/>
      <c r="B8" s="26"/>
      <c r="C8" s="26" t="s">
        <v>79</v>
      </c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</row>
    <row r="9" spans="1:20" ht="18.75" customHeight="1" x14ac:dyDescent="0.25">
      <c r="A9" s="26"/>
      <c r="B9" s="26"/>
      <c r="C9" s="26" t="s">
        <v>80</v>
      </c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</row>
    <row r="10" spans="1:20" ht="18.75" customHeight="1" x14ac:dyDescent="0.25">
      <c r="A10" s="26"/>
      <c r="B10" s="26"/>
      <c r="C10" s="26" t="s">
        <v>84</v>
      </c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</row>
    <row r="11" spans="1:20" ht="18.75" customHeight="1" x14ac:dyDescent="0.25">
      <c r="A11" s="26"/>
      <c r="B11" s="26"/>
      <c r="C11" s="11" t="s">
        <v>25</v>
      </c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</row>
    <row r="12" spans="1:20" ht="15.75" x14ac:dyDescent="0.25">
      <c r="A12" s="26"/>
      <c r="B12" s="26"/>
      <c r="C12" s="10" t="s">
        <v>81</v>
      </c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</row>
    <row r="13" spans="1:20" ht="15.75" x14ac:dyDescent="0.25">
      <c r="A13" s="27"/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</row>
    <row r="14" spans="1:20" ht="15.75" x14ac:dyDescent="0.25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</row>
    <row r="15" spans="1:20" s="5" customFormat="1" ht="81.75" customHeight="1" x14ac:dyDescent="0.25">
      <c r="A15" s="53" t="s">
        <v>4</v>
      </c>
      <c r="B15" s="53" t="s">
        <v>23</v>
      </c>
      <c r="C15" s="51" t="s">
        <v>12</v>
      </c>
      <c r="D15" s="52"/>
      <c r="E15" s="51" t="s">
        <v>13</v>
      </c>
      <c r="F15" s="52"/>
      <c r="G15" s="51" t="s">
        <v>14</v>
      </c>
      <c r="H15" s="52"/>
      <c r="I15" s="51" t="s">
        <v>59</v>
      </c>
      <c r="J15" s="52"/>
      <c r="K15" s="49" t="s">
        <v>22</v>
      </c>
      <c r="L15" s="50"/>
      <c r="M15" s="51" t="s">
        <v>15</v>
      </c>
      <c r="N15" s="52"/>
    </row>
    <row r="16" spans="1:20" s="5" customFormat="1" ht="39.75" customHeight="1" x14ac:dyDescent="0.25">
      <c r="A16" s="54"/>
      <c r="B16" s="54"/>
      <c r="C16" s="6" t="s">
        <v>19</v>
      </c>
      <c r="D16" s="18" t="s">
        <v>20</v>
      </c>
      <c r="E16" s="6" t="s">
        <v>19</v>
      </c>
      <c r="F16" s="18" t="s">
        <v>20</v>
      </c>
      <c r="G16" s="6" t="s">
        <v>19</v>
      </c>
      <c r="H16" s="18" t="s">
        <v>20</v>
      </c>
      <c r="I16" s="6" t="s">
        <v>19</v>
      </c>
      <c r="J16" s="18" t="s">
        <v>20</v>
      </c>
      <c r="K16" s="6" t="s">
        <v>19</v>
      </c>
      <c r="L16" s="18" t="s">
        <v>20</v>
      </c>
      <c r="M16" s="6" t="s">
        <v>19</v>
      </c>
      <c r="N16" s="18" t="s">
        <v>20</v>
      </c>
      <c r="S16" s="5">
        <v>0.1</v>
      </c>
      <c r="T16" s="5">
        <v>180</v>
      </c>
    </row>
    <row r="17" spans="1:21" s="5" customFormat="1" ht="39.75" customHeight="1" x14ac:dyDescent="0.25">
      <c r="A17" s="32">
        <v>1</v>
      </c>
      <c r="B17" s="32" t="s">
        <v>70</v>
      </c>
      <c r="C17" s="33" t="s">
        <v>73</v>
      </c>
      <c r="D17" s="33" t="s">
        <v>73</v>
      </c>
      <c r="E17" s="6" t="s">
        <v>44</v>
      </c>
      <c r="F17" s="19" t="s">
        <v>18</v>
      </c>
      <c r="G17" s="19" t="s">
        <v>42</v>
      </c>
      <c r="H17" s="19" t="s">
        <v>18</v>
      </c>
      <c r="I17" s="12" t="s">
        <v>6</v>
      </c>
      <c r="J17" s="12" t="s">
        <v>6</v>
      </c>
      <c r="K17" s="19" t="s">
        <v>77</v>
      </c>
      <c r="L17" s="12" t="s">
        <v>6</v>
      </c>
      <c r="M17" s="12" t="s">
        <v>6</v>
      </c>
      <c r="N17" s="12" t="s">
        <v>6</v>
      </c>
      <c r="S17" s="5">
        <v>0.1</v>
      </c>
      <c r="T17" s="5">
        <v>150</v>
      </c>
    </row>
    <row r="18" spans="1:21" s="5" customFormat="1" ht="39.75" customHeight="1" x14ac:dyDescent="0.25">
      <c r="A18" s="34">
        <v>2</v>
      </c>
      <c r="B18" s="34" t="s">
        <v>71</v>
      </c>
      <c r="C18" s="33" t="s">
        <v>74</v>
      </c>
      <c r="D18" s="40" t="s">
        <v>82</v>
      </c>
      <c r="E18" s="6" t="s">
        <v>43</v>
      </c>
      <c r="F18" s="19" t="s">
        <v>18</v>
      </c>
      <c r="G18" s="19" t="s">
        <v>42</v>
      </c>
      <c r="H18" s="19" t="s">
        <v>18</v>
      </c>
      <c r="I18" s="12" t="s">
        <v>6</v>
      </c>
      <c r="J18" s="12" t="s">
        <v>6</v>
      </c>
      <c r="K18" s="19" t="s">
        <v>77</v>
      </c>
      <c r="L18" s="12" t="s">
        <v>6</v>
      </c>
      <c r="M18" s="12" t="s">
        <v>65</v>
      </c>
      <c r="N18" s="19" t="s">
        <v>18</v>
      </c>
    </row>
    <row r="19" spans="1:21" s="5" customFormat="1" ht="39.75" customHeight="1" x14ac:dyDescent="0.25">
      <c r="A19" s="34">
        <v>3</v>
      </c>
      <c r="B19" s="34" t="s">
        <v>72</v>
      </c>
      <c r="C19" s="33" t="s">
        <v>75</v>
      </c>
      <c r="D19" s="40" t="s">
        <v>83</v>
      </c>
      <c r="E19" s="6" t="s">
        <v>76</v>
      </c>
      <c r="F19" s="19" t="s">
        <v>18</v>
      </c>
      <c r="G19" s="19" t="s">
        <v>42</v>
      </c>
      <c r="H19" s="19" t="s">
        <v>18</v>
      </c>
      <c r="I19" s="12" t="s">
        <v>6</v>
      </c>
      <c r="J19" s="12" t="s">
        <v>6</v>
      </c>
      <c r="K19" s="12" t="s">
        <v>6</v>
      </c>
      <c r="L19" s="12" t="s">
        <v>6</v>
      </c>
      <c r="M19" s="12" t="s">
        <v>65</v>
      </c>
      <c r="N19" s="19" t="s">
        <v>18</v>
      </c>
      <c r="P19" s="35">
        <v>1822</v>
      </c>
      <c r="Q19" s="35">
        <f>+P19*10</f>
        <v>18220</v>
      </c>
      <c r="R19" s="35"/>
      <c r="S19" s="5">
        <v>0.01</v>
      </c>
      <c r="T19" s="5">
        <v>60</v>
      </c>
    </row>
    <row r="20" spans="1:21" s="5" customFormat="1" ht="39.75" customHeight="1" x14ac:dyDescent="0.25">
      <c r="A20" s="29"/>
      <c r="B20" s="29"/>
      <c r="C20" s="36"/>
      <c r="D20" s="37"/>
      <c r="E20" s="38"/>
      <c r="F20" s="39"/>
      <c r="G20" s="39"/>
      <c r="H20" s="39"/>
      <c r="I20" s="14"/>
      <c r="J20" s="14"/>
      <c r="K20" s="14"/>
      <c r="L20" s="14"/>
      <c r="M20" s="14"/>
      <c r="N20" s="39"/>
      <c r="P20" s="35">
        <v>1812</v>
      </c>
      <c r="Q20" s="35">
        <f>+P20*10</f>
        <v>18120</v>
      </c>
    </row>
    <row r="21" spans="1:21" ht="22.5" customHeight="1" x14ac:dyDescent="0.25">
      <c r="A21" s="26"/>
      <c r="B21" s="26" t="s">
        <v>68</v>
      </c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P21" s="35">
        <v>732</v>
      </c>
      <c r="Q21" s="35">
        <f>+P21*100</f>
        <v>73200</v>
      </c>
      <c r="R21" s="35"/>
      <c r="S21" s="31">
        <v>0.01</v>
      </c>
      <c r="T21" s="31">
        <v>42</v>
      </c>
      <c r="U21" s="31"/>
    </row>
    <row r="22" spans="1:21" ht="22.5" customHeight="1" x14ac:dyDescent="0.25">
      <c r="A22" s="26"/>
      <c r="B22" s="26" t="s">
        <v>69</v>
      </c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P22" s="35">
        <v>723</v>
      </c>
      <c r="Q22" s="35">
        <f>+P22*100</f>
        <v>72300</v>
      </c>
      <c r="R22" s="35"/>
    </row>
    <row r="23" spans="1:21" ht="22.5" customHeight="1" x14ac:dyDescent="0.25">
      <c r="A23" s="26"/>
      <c r="B23" s="26" t="s">
        <v>58</v>
      </c>
      <c r="C23" s="26"/>
      <c r="D23" s="26"/>
      <c r="E23" s="30" t="s">
        <v>57</v>
      </c>
      <c r="F23" s="26"/>
      <c r="G23" s="26"/>
      <c r="H23" s="26"/>
      <c r="I23" s="26"/>
      <c r="J23" s="26"/>
      <c r="K23" s="26"/>
      <c r="L23" s="26"/>
      <c r="M23" s="26"/>
      <c r="N23" s="26"/>
      <c r="P23" s="35">
        <v>302</v>
      </c>
      <c r="Q23" s="35">
        <f>+P23*1000</f>
        <v>302000</v>
      </c>
      <c r="R23" s="35"/>
    </row>
    <row r="24" spans="1:21" ht="22.5" customHeight="1" x14ac:dyDescent="0.25">
      <c r="A24" s="26"/>
      <c r="B24" s="26" t="s">
        <v>8</v>
      </c>
      <c r="C24" s="26"/>
      <c r="D24" s="26"/>
      <c r="E24" s="30" t="s">
        <v>57</v>
      </c>
      <c r="F24" s="26"/>
      <c r="G24" s="26"/>
      <c r="H24" s="26"/>
      <c r="I24" s="26"/>
      <c r="J24" s="26"/>
      <c r="K24" s="26"/>
      <c r="L24" s="26"/>
      <c r="M24" s="26"/>
      <c r="N24" s="26"/>
      <c r="P24" s="35">
        <v>398</v>
      </c>
      <c r="Q24" s="35">
        <f>+P24*1000</f>
        <v>398000</v>
      </c>
      <c r="R24" s="35"/>
    </row>
    <row r="25" spans="1:21" ht="15.75" x14ac:dyDescent="0.25">
      <c r="P25" s="35">
        <v>31</v>
      </c>
      <c r="Q25" s="35">
        <f>+P25*10000</f>
        <v>310000</v>
      </c>
      <c r="R25" s="35"/>
    </row>
    <row r="26" spans="1:21" ht="15.75" x14ac:dyDescent="0.25">
      <c r="P26" s="35">
        <v>27</v>
      </c>
      <c r="Q26" s="35">
        <f>+P26*10000</f>
        <v>270000</v>
      </c>
      <c r="R26" s="35"/>
    </row>
    <row r="27" spans="1:21" ht="15.75" x14ac:dyDescent="0.25">
      <c r="P27" s="35"/>
      <c r="Q27" s="35">
        <f>SUM(Q19:Q26)</f>
        <v>1461840</v>
      </c>
      <c r="R27" s="35"/>
    </row>
    <row r="28" spans="1:21" ht="15.75" x14ac:dyDescent="0.25">
      <c r="R28" s="35">
        <f>+Q27/8</f>
        <v>182730</v>
      </c>
    </row>
  </sheetData>
  <mergeCells count="8">
    <mergeCell ref="K15:L15"/>
    <mergeCell ref="M15:N15"/>
    <mergeCell ref="A15:A16"/>
    <mergeCell ref="B15:B16"/>
    <mergeCell ref="C15:D15"/>
    <mergeCell ref="E15:F15"/>
    <mergeCell ref="G15:H15"/>
    <mergeCell ref="I15:J15"/>
  </mergeCells>
  <printOptions horizontalCentered="1"/>
  <pageMargins left="0.19685039370078741" right="0.19685039370078741" top="0.35433070866141736" bottom="0.19685039370078741" header="0.35433070866141736" footer="0.19685039370078741"/>
  <pageSetup paperSize="9" scale="8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Ш.Рашид (3)</vt:lpstr>
      <vt:lpstr>Ш.Рашид (4)</vt:lpstr>
      <vt:lpstr>Ш.Рашид (8)</vt:lpstr>
      <vt:lpstr>ДОН 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Yulduz</dc:creator>
  <cp:lastModifiedBy>User</cp:lastModifiedBy>
  <cp:lastPrinted>2022-06-01T03:54:18Z</cp:lastPrinted>
  <dcterms:created xsi:type="dcterms:W3CDTF">2015-02-28T04:35:55Z</dcterms:created>
  <dcterms:modified xsi:type="dcterms:W3CDTF">2026-08-13T12:05:08Z</dcterms:modified>
</cp:coreProperties>
</file>